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charts/chart2.xml" ContentType="application/vnd.openxmlformats-officedocument.drawingml.chart+xml"/>
  <Override PartName="/xl/charts/chart1.xml" ContentType="application/vnd.openxmlformats-officedocument.drawingml.char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2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<sst xmlns="http://schemas.openxmlformats.org/spreadsheetml/2006/main" count="28" uniqueCount="20">
  <si>
    <t xml:space="preserve">Element</t>
  </si>
  <si>
    <t xml:space="preserve">Diameter</t>
  </si>
  <si>
    <t xml:space="preserve">Length</t>
  </si>
  <si>
    <t xml:space="preserve">Width</t>
  </si>
  <si>
    <t xml:space="preserve">Height</t>
  </si>
  <si>
    <t xml:space="preserve">Between</t>
  </si>
  <si>
    <t xml:space="preserve">Material</t>
  </si>
  <si>
    <t xml:space="preserve">Measured inside</t>
  </si>
  <si>
    <t xml:space="preserve">Measure Outside</t>
  </si>
  <si>
    <t xml:space="preserve">Delta In</t>
  </si>
  <si>
    <t xml:space="preserve">Delta Out</t>
  </si>
  <si>
    <t xml:space="preserve">Kerf</t>
  </si>
  <si>
    <t xml:space="preserve">Stud</t>
  </si>
  <si>
    <t xml:space="preserve">Acrylic</t>
  </si>
  <si>
    <t xml:space="preserve">Plywood</t>
  </si>
  <si>
    <t xml:space="preserve">Outside</t>
  </si>
  <si>
    <t xml:space="preserve">Inside</t>
  </si>
  <si>
    <t xml:space="preserve">Gap Distance</t>
  </si>
  <si>
    <t xml:space="preserve">Acrylic 1 Pass</t>
  </si>
  <si>
    <t xml:space="preserve">Acrylic 2 Pass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</si>
</sst>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rgb="FF595959"/>
      <name val="Calibri"/>
      <family val="2"/>
    </font>
    <font>
      <sz val="9"/>
      <color rgb="FF595959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7D31"/>
      <rgbColor rgb="FF59595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Acrylic Kerf</a:t>
            </a:r>
          </a:p>
        </c:rich>
      </c:tx>
      <c:overlay val="0"/>
    </c:title>
    <c:autoTitleDeleted val="0"/>
    <c:plotArea>
      <c:lineChart>
        <c:grouping val="standard"/>
        <c:ser>
          <c:idx val="0"/>
          <c:order val="0"/>
          <c:tx>
            <c:strRef>
              <c:f>Sheet1!$N$1</c:f>
              <c:strCache>
                <c:ptCount val="1"/>
                <c:pt idx="0">
                  <c:v>Delta In</c:v>
                </c:pt>
              </c:strCache>
            </c:strRef>
          </c:tx>
          <c:spPr>
            <a:solidFill>
              <a:srgbClr val="5b9bd5"/>
            </a:solidFill>
            <a:ln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val>
            <c:numRef>
              <c:f>Sheet1!$N$2:$N$13</c:f>
              <c:numCache>
                <c:formatCode>General</c:formatCode>
                <c:ptCount val="12"/>
                <c:pt idx="0">
                  <c:v>0.0799999999999983</c:v>
                </c:pt>
                <c:pt idx="1">
                  <c:v>0.0999999999999943</c:v>
                </c:pt>
                <c:pt idx="2">
                  <c:v>0.219999999999999</c:v>
                </c:pt>
                <c:pt idx="3">
                  <c:v>0.170000000000002</c:v>
                </c:pt>
                <c:pt idx="4">
                  <c:v>0.149999999999999</c:v>
                </c:pt>
                <c:pt idx="5">
                  <c:v>0.170000000000002</c:v>
                </c:pt>
                <c:pt idx="6">
                  <c:v>0.219999999999999</c:v>
                </c:pt>
                <c:pt idx="7">
                  <c:v>0.0700000000000003</c:v>
                </c:pt>
                <c:pt idx="8">
                  <c:v>0.18</c:v>
                </c:pt>
                <c:pt idx="9">
                  <c:v>0.18</c:v>
                </c:pt>
                <c:pt idx="10">
                  <c:v>0.17</c:v>
                </c:pt>
                <c:pt idx="11">
                  <c:v>0.2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Sheet1!$O$1</c:f>
              <c:strCache>
                <c:ptCount val="1"/>
                <c:pt idx="0">
                  <c:v>Delta Out</c:v>
                </c:pt>
              </c:strCache>
            </c:strRef>
          </c:tx>
          <c:spPr>
            <a:solidFill>
              <a:srgbClr val="ed7d31"/>
            </a:solidFill>
            <a:ln w="284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val>
            <c:numRef>
              <c:f>Sheet1!$O$2:$O$13</c:f>
              <c:numCache>
                <c:formatCode>General</c:formatCode>
                <c:ptCount val="12"/>
                <c:pt idx="0">
                  <c:v>0.329999999999998</c:v>
                </c:pt>
                <c:pt idx="1">
                  <c:v>0.299999999999997</c:v>
                </c:pt>
                <c:pt idx="2">
                  <c:v>0.299999999999997</c:v>
                </c:pt>
                <c:pt idx="3">
                  <c:v>0.359999999999999</c:v>
                </c:pt>
                <c:pt idx="4">
                  <c:v>0.329999999999998</c:v>
                </c:pt>
                <c:pt idx="5">
                  <c:v>0.299999999999997</c:v>
                </c:pt>
                <c:pt idx="6">
                  <c:v>0.189999999999998</c:v>
                </c:pt>
                <c:pt idx="7">
                  <c:v>0.25</c:v>
                </c:pt>
                <c:pt idx="8">
                  <c:v>0.23</c:v>
                </c:pt>
                <c:pt idx="9">
                  <c:v>0.23</c:v>
                </c:pt>
                <c:pt idx="10">
                  <c:v>0.24</c:v>
                </c:pt>
                <c:pt idx="11">
                  <c:v>0.25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Sheet1!$P$1</c:f>
              <c:strCache>
                <c:ptCount val="1"/>
                <c:pt idx="0">
                  <c:v>Kerf</c:v>
                </c:pt>
              </c:strCache>
            </c:strRef>
          </c:tx>
          <c:spPr>
            <a:solidFill>
              <a:srgbClr val="a5a5a5"/>
            </a:solidFill>
            <a:ln w="2844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val>
            <c:numRef>
              <c:f>Sheet1!$P$2:$P$13</c:f>
              <c:numCache>
                <c:formatCode>General</c:formatCode>
                <c:ptCount val="12"/>
                <c:pt idx="0">
                  <c:v>0.409999999999997</c:v>
                </c:pt>
                <c:pt idx="1">
                  <c:v>0.399999999999991</c:v>
                </c:pt>
                <c:pt idx="2">
                  <c:v>0.519999999999996</c:v>
                </c:pt>
                <c:pt idx="3">
                  <c:v>0.530000000000001</c:v>
                </c:pt>
                <c:pt idx="4">
                  <c:v>0.479999999999997</c:v>
                </c:pt>
                <c:pt idx="5">
                  <c:v>0.469999999999999</c:v>
                </c:pt>
                <c:pt idx="6">
                  <c:v>0.409999999999997</c:v>
                </c:pt>
                <c:pt idx="7">
                  <c:v>0.32</c:v>
                </c:pt>
                <c:pt idx="8">
                  <c:v>0.41</c:v>
                </c:pt>
                <c:pt idx="9">
                  <c:v>0.41</c:v>
                </c:pt>
                <c:pt idx="10">
                  <c:v>0.41</c:v>
                </c:pt>
                <c:pt idx="11">
                  <c:v>0.45</c:v>
                </c:pt>
              </c:numCache>
            </c:numRef>
          </c:val>
          <c:smooth val="0"/>
        </c:ser>
        <c:hiLowLines>
          <c:spPr>
            <a:ln>
              <a:noFill/>
            </a:ln>
          </c:spPr>
        </c:hiLowLines>
        <c:marker val="0"/>
        <c:axId val="20670326"/>
        <c:axId val="98311350"/>
      </c:lineChart>
      <c:catAx>
        <c:axId val="2067032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p>
            <a:pPr>
              <a:defRPr b="0" sz="900" spc="-1" strike="noStrike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98311350"/>
        <c:crosses val="autoZero"/>
        <c:auto val="1"/>
        <c:lblAlgn val="ctr"/>
        <c:lblOffset val="100"/>
      </c:catAx>
      <c:valAx>
        <c:axId val="9831135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p>
            <a:pPr>
              <a:defRPr b="0" sz="900" spc="-1" strike="noStrike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20670326"/>
        <c:crosses val="autoZero"/>
        <c:crossBetween val="midCat"/>
      </c:val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Calibri"/>
              </a:rPr>
              <a:t>Plywood Kerf</a:t>
            </a:r>
          </a:p>
        </c:rich>
      </c:tx>
      <c:overlay val="0"/>
    </c:title>
    <c:autoTitleDeleted val="0"/>
    <c:plotArea>
      <c:lineChart>
        <c:grouping val="standard"/>
        <c:ser>
          <c:idx val="0"/>
          <c:order val="0"/>
          <c:spPr>
            <a:solidFill>
              <a:srgbClr val="5b9bd5"/>
            </a:solidFill>
            <a:ln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val>
            <c:numRef>
              <c:f>Sheet1!$N$15:$N$26</c:f>
              <c:numCache>
                <c:formatCode>General</c:formatCode>
                <c:ptCount val="12"/>
                <c:pt idx="0">
                  <c:v>0.25</c:v>
                </c:pt>
                <c:pt idx="1">
                  <c:v>0.109999999999999</c:v>
                </c:pt>
                <c:pt idx="2">
                  <c:v>0.25</c:v>
                </c:pt>
                <c:pt idx="3">
                  <c:v>0.209999999999994</c:v>
                </c:pt>
                <c:pt idx="4">
                  <c:v>0.149999999999999</c:v>
                </c:pt>
                <c:pt idx="5">
                  <c:v>0.109999999999999</c:v>
                </c:pt>
                <c:pt idx="6">
                  <c:v>0.280000000000001</c:v>
                </c:pt>
                <c:pt idx="7">
                  <c:v>0.0799999999999983</c:v>
                </c:pt>
                <c:pt idx="8">
                  <c:v>0.170000000000002</c:v>
                </c:pt>
                <c:pt idx="9">
                  <c:v>0.140000000000001</c:v>
                </c:pt>
                <c:pt idx="10">
                  <c:v>0.13</c:v>
                </c:pt>
                <c:pt idx="11">
                  <c:v>0.15</c:v>
                </c:pt>
              </c:numCache>
            </c:numRef>
          </c:val>
          <c:smooth val="0"/>
        </c:ser>
        <c:ser>
          <c:idx val="1"/>
          <c:order val="1"/>
          <c:spPr>
            <a:solidFill>
              <a:srgbClr val="ed7d31"/>
            </a:solidFill>
            <a:ln w="284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val>
            <c:numRef>
              <c:f>Sheet1!$O$15:$O$26</c:f>
              <c:numCache>
                <c:formatCode>General</c:formatCode>
                <c:ptCount val="12"/>
                <c:pt idx="0">
                  <c:v>0.390000000000001</c:v>
                </c:pt>
                <c:pt idx="1">
                  <c:v>0.5</c:v>
                </c:pt>
                <c:pt idx="2">
                  <c:v>0.180000000000007</c:v>
                </c:pt>
                <c:pt idx="3">
                  <c:v>0.299999999999997</c:v>
                </c:pt>
                <c:pt idx="4">
                  <c:v>0.340000000000003</c:v>
                </c:pt>
                <c:pt idx="5">
                  <c:v>0.310000000000002</c:v>
                </c:pt>
                <c:pt idx="6">
                  <c:v>0.229999999999997</c:v>
                </c:pt>
                <c:pt idx="7">
                  <c:v>0.27</c:v>
                </c:pt>
                <c:pt idx="8">
                  <c:v>0.18</c:v>
                </c:pt>
                <c:pt idx="9">
                  <c:v>0.27</c:v>
                </c:pt>
                <c:pt idx="10">
                  <c:v>0.25</c:v>
                </c:pt>
                <c:pt idx="11">
                  <c:v>0.26</c:v>
                </c:pt>
              </c:numCache>
            </c:numRef>
          </c:val>
          <c:smooth val="0"/>
        </c:ser>
        <c:ser>
          <c:idx val="2"/>
          <c:order val="2"/>
          <c:spPr>
            <a:solidFill>
              <a:srgbClr val="a5a5a5"/>
            </a:solidFill>
            <a:ln w="2844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val>
            <c:numRef>
              <c:f>Sheet1!$P$15:$P$26</c:f>
              <c:numCache>
                <c:formatCode>General</c:formatCode>
                <c:ptCount val="12"/>
                <c:pt idx="0">
                  <c:v>0.640000000000001</c:v>
                </c:pt>
                <c:pt idx="1">
                  <c:v>0.609999999999999</c:v>
                </c:pt>
                <c:pt idx="2">
                  <c:v>0.430000000000007</c:v>
                </c:pt>
                <c:pt idx="3">
                  <c:v>0.509999999999991</c:v>
                </c:pt>
                <c:pt idx="4">
                  <c:v>0.490000000000002</c:v>
                </c:pt>
                <c:pt idx="5">
                  <c:v>0.420000000000002</c:v>
                </c:pt>
                <c:pt idx="6">
                  <c:v>0.509999999999998</c:v>
                </c:pt>
                <c:pt idx="7">
                  <c:v>0.349999999999998</c:v>
                </c:pt>
                <c:pt idx="8">
                  <c:v>0.350000000000001</c:v>
                </c:pt>
                <c:pt idx="9">
                  <c:v>0.41</c:v>
                </c:pt>
                <c:pt idx="10">
                  <c:v>0.38</c:v>
                </c:pt>
                <c:pt idx="11">
                  <c:v>0.41</c:v>
                </c:pt>
              </c:numCache>
            </c:numRef>
          </c:val>
          <c:smooth val="0"/>
        </c:ser>
        <c:hiLowLines>
          <c:spPr>
            <a:ln>
              <a:noFill/>
            </a:ln>
          </c:spPr>
        </c:hiLowLines>
        <c:marker val="0"/>
        <c:axId val="18148887"/>
        <c:axId val="20671165"/>
      </c:lineChart>
      <c:catAx>
        <c:axId val="18148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p>
            <a:pPr>
              <a:defRPr b="0" sz="900" spc="-1" strike="noStrike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20671165"/>
        <c:crosses val="autoZero"/>
        <c:auto val="1"/>
        <c:lblAlgn val="ctr"/>
        <c:lblOffset val="100"/>
      </c:catAx>
      <c:valAx>
        <c:axId val="20671165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p>
            <a:pPr>
              <a:defRPr b="0" sz="900" spc="-1" strike="noStrike">
                <a:solidFill>
                  <a:srgbClr val="595959"/>
                </a:solidFill>
                <a:uFill>
                  <a:solidFill>
                    <a:srgbClr val="ffffff"/>
                  </a:solidFill>
                </a:uFill>
                <a:latin typeface="Calibri"/>
              </a:defRPr>
            </a:pPr>
          </a:p>
        </c:txPr>
        <c:crossAx val="18148887"/>
        <c:crosses val="autoZero"/>
        <c:crossBetween val="midCat"/>
      </c:val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16</xdr:col>
      <xdr:colOff>419400</xdr:colOff>
      <xdr:row>0</xdr:row>
      <xdr:rowOff>133200</xdr:rowOff>
    </xdr:from>
    <xdr:to>
      <xdr:col>25</xdr:col>
      <xdr:colOff>352440</xdr:colOff>
      <xdr:row>19</xdr:row>
      <xdr:rowOff>37440</xdr:rowOff>
    </xdr:to>
    <xdr:graphicFrame>
      <xdr:nvGraphicFramePr>
        <xdr:cNvPr id="0" name="Chart 1"/>
        <xdr:cNvGraphicFramePr/>
      </xdr:nvGraphicFramePr>
      <xdr:xfrm>
        <a:off x="11672640" y="133200"/>
        <a:ext cx="5333760" cy="3523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16</xdr:col>
      <xdr:colOff>405000</xdr:colOff>
      <xdr:row>19</xdr:row>
      <xdr:rowOff>57240</xdr:rowOff>
    </xdr:from>
    <xdr:to>
      <xdr:col>25</xdr:col>
      <xdr:colOff>323640</xdr:colOff>
      <xdr:row>36</xdr:row>
      <xdr:rowOff>47520</xdr:rowOff>
    </xdr:to>
    <xdr:graphicFrame>
      <xdr:nvGraphicFramePr>
        <xdr:cNvPr id="1" name="Chart 2"/>
        <xdr:cNvGraphicFramePr/>
      </xdr:nvGraphicFramePr>
      <xdr:xfrm>
        <a:off x="11658240" y="3676680"/>
        <a:ext cx="5319360" cy="3228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49"/>
  <sheetViews>
    <sheetView windowProtection="false" showFormulas="false" showGridLines="true" showRowColHeaders="true" showZeros="true" rightToLeft="false" tabSelected="true" showOutlineSymbols="true" defaultGridColor="true" view="normal" topLeftCell="H22" colorId="64" zoomScale="100" zoomScaleNormal="100" zoomScalePageLayoutView="100" workbookViewId="0">
      <selection pane="topLeft" activeCell="Q44" activeCellId="0" sqref="Q44"/>
    </sheetView>
  </sheetViews>
  <sheetFormatPr defaultRowHeight="15"/>
  <cols>
    <col collapsed="false" hidden="false" max="1" min="1" style="0" width="8.50510204081633"/>
    <col collapsed="false" hidden="false" max="2" min="2" style="0" width="11.0714285714286"/>
    <col collapsed="false" hidden="false" max="3" min="3" style="0" width="11.3418367346939"/>
    <col collapsed="false" hidden="false" max="9" min="4" style="0" width="8.50510204081633"/>
    <col collapsed="false" hidden="false" max="10" min="10" style="0" width="11.8061224489796"/>
    <col collapsed="false" hidden="false" max="11" min="11" style="0" width="8.50510204081633"/>
    <col collapsed="false" hidden="false" max="12" min="12" style="0" width="15.6581632653061"/>
    <col collapsed="false" hidden="false" max="13" min="13" style="0" width="16.0663265306122"/>
    <col collapsed="false" hidden="false" max="1025" min="14" style="0" width="8.50510204081633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J1" s="0" t="s">
        <v>6</v>
      </c>
      <c r="K1" s="0" t="s">
        <v>1</v>
      </c>
      <c r="L1" s="0" t="s">
        <v>7</v>
      </c>
      <c r="M1" s="0" t="s">
        <v>8</v>
      </c>
      <c r="N1" s="0" t="s">
        <v>9</v>
      </c>
      <c r="O1" s="0" t="s">
        <v>10</v>
      </c>
      <c r="P1" s="0" t="s">
        <v>11</v>
      </c>
    </row>
    <row r="2" customFormat="false" ht="15" hidden="false" customHeight="false" outlineLevel="0" collapsed="false">
      <c r="A2" s="0" t="s">
        <v>12</v>
      </c>
      <c r="B2" s="0" t="n">
        <v>4.88</v>
      </c>
      <c r="E2" s="0" t="n">
        <v>1.8</v>
      </c>
      <c r="F2" s="0" t="n">
        <v>3.1</v>
      </c>
      <c r="J2" s="0" t="s">
        <v>13</v>
      </c>
      <c r="K2" s="0" t="n">
        <v>100</v>
      </c>
      <c r="L2" s="0" t="n">
        <v>100.08</v>
      </c>
      <c r="M2" s="0" t="n">
        <v>99.67</v>
      </c>
      <c r="N2" s="0" t="n">
        <f aca="false">L2-K2</f>
        <v>0.0799999999999983</v>
      </c>
      <c r="O2" s="0" t="n">
        <f aca="false">K2-M2</f>
        <v>0.329999999999998</v>
      </c>
      <c r="P2" s="0" t="n">
        <f aca="false">O2+N2</f>
        <v>0.409999999999997</v>
      </c>
    </row>
    <row r="3" customFormat="false" ht="15" hidden="false" customHeight="false" outlineLevel="0" collapsed="false">
      <c r="K3" s="0" t="n">
        <v>90</v>
      </c>
      <c r="L3" s="0" t="n">
        <v>90.1</v>
      </c>
      <c r="M3" s="0" t="n">
        <v>89.7</v>
      </c>
      <c r="N3" s="0" t="n">
        <f aca="false">L3-K3</f>
        <v>0.0999999999999943</v>
      </c>
      <c r="O3" s="0" t="n">
        <f aca="false">K3-M3</f>
        <v>0.299999999999997</v>
      </c>
      <c r="P3" s="0" t="n">
        <f aca="false">O3+N3</f>
        <v>0.399999999999991</v>
      </c>
    </row>
    <row r="4" customFormat="false" ht="15" hidden="false" customHeight="false" outlineLevel="0" collapsed="false">
      <c r="K4" s="0" t="n">
        <v>80</v>
      </c>
      <c r="L4" s="0" t="n">
        <v>80.22</v>
      </c>
      <c r="M4" s="0" t="n">
        <v>79.7</v>
      </c>
      <c r="N4" s="0" t="n">
        <f aca="false">L4-K4</f>
        <v>0.219999999999999</v>
      </c>
      <c r="O4" s="0" t="n">
        <f aca="false">K4-M4</f>
        <v>0.299999999999997</v>
      </c>
      <c r="P4" s="0" t="n">
        <f aca="false">O4+N4</f>
        <v>0.519999999999996</v>
      </c>
    </row>
    <row r="5" customFormat="false" ht="15" hidden="false" customHeight="false" outlineLevel="0" collapsed="false">
      <c r="K5" s="0" t="n">
        <v>70</v>
      </c>
      <c r="L5" s="0" t="n">
        <v>70.17</v>
      </c>
      <c r="M5" s="0" t="n">
        <v>69.64</v>
      </c>
      <c r="N5" s="0" t="n">
        <f aca="false">L5-K5</f>
        <v>0.170000000000002</v>
      </c>
      <c r="O5" s="0" t="n">
        <f aca="false">K5-M5</f>
        <v>0.359999999999999</v>
      </c>
      <c r="P5" s="0" t="n">
        <f aca="false">O5+N5</f>
        <v>0.530000000000001</v>
      </c>
    </row>
    <row r="6" customFormat="false" ht="15" hidden="false" customHeight="false" outlineLevel="0" collapsed="false">
      <c r="K6" s="0" t="n">
        <v>60</v>
      </c>
      <c r="L6" s="0" t="n">
        <v>60.15</v>
      </c>
      <c r="M6" s="0" t="n">
        <v>59.67</v>
      </c>
      <c r="N6" s="0" t="n">
        <f aca="false">L6-K6</f>
        <v>0.149999999999999</v>
      </c>
      <c r="O6" s="0" t="n">
        <f aca="false">K6-M6</f>
        <v>0.329999999999998</v>
      </c>
      <c r="P6" s="0" t="n">
        <f aca="false">O6+N6</f>
        <v>0.479999999999997</v>
      </c>
    </row>
    <row r="7" customFormat="false" ht="15" hidden="false" customHeight="false" outlineLevel="0" collapsed="false">
      <c r="K7" s="0" t="n">
        <v>50</v>
      </c>
      <c r="L7" s="0" t="n">
        <v>50.17</v>
      </c>
      <c r="M7" s="0" t="n">
        <v>49.7</v>
      </c>
      <c r="N7" s="0" t="n">
        <f aca="false">L7-K7</f>
        <v>0.170000000000002</v>
      </c>
      <c r="O7" s="0" t="n">
        <f aca="false">K7-M7</f>
        <v>0.299999999999997</v>
      </c>
      <c r="P7" s="0" t="n">
        <f aca="false">O7+N7</f>
        <v>0.469999999999999</v>
      </c>
    </row>
    <row r="8" customFormat="false" ht="15" hidden="false" customHeight="false" outlineLevel="0" collapsed="false">
      <c r="K8" s="0" t="n">
        <v>40</v>
      </c>
      <c r="L8" s="0" t="n">
        <v>40.22</v>
      </c>
      <c r="M8" s="0" t="n">
        <v>39.81</v>
      </c>
      <c r="N8" s="0" t="n">
        <f aca="false">L8-K8</f>
        <v>0.219999999999999</v>
      </c>
      <c r="O8" s="0" t="n">
        <f aca="false">K8-M8</f>
        <v>0.189999999999998</v>
      </c>
      <c r="P8" s="0" t="n">
        <f aca="false">O8+N8</f>
        <v>0.409999999999997</v>
      </c>
    </row>
    <row r="9" customFormat="false" ht="15" hidden="false" customHeight="false" outlineLevel="0" collapsed="false">
      <c r="K9" s="0" t="n">
        <v>30</v>
      </c>
      <c r="L9" s="0" t="n">
        <v>30.07</v>
      </c>
      <c r="M9" s="0" t="n">
        <v>29.75</v>
      </c>
      <c r="N9" s="0" t="n">
        <f aca="false">L9-K9</f>
        <v>0.0700000000000003</v>
      </c>
      <c r="O9" s="0" t="n">
        <f aca="false">K9-M9</f>
        <v>0.25</v>
      </c>
      <c r="P9" s="0" t="n">
        <f aca="false">O9+N9</f>
        <v>0.32</v>
      </c>
    </row>
    <row r="10" customFormat="false" ht="15" hidden="false" customHeight="false" outlineLevel="0" collapsed="false">
      <c r="K10" s="0" t="n">
        <v>20</v>
      </c>
      <c r="L10" s="0" t="n">
        <v>20.18</v>
      </c>
      <c r="M10" s="0" t="n">
        <v>19.77</v>
      </c>
      <c r="N10" s="0" t="n">
        <f aca="false">L10-K10</f>
        <v>0.18</v>
      </c>
      <c r="O10" s="0" t="n">
        <f aca="false">K10-M10</f>
        <v>0.23</v>
      </c>
      <c r="P10" s="0" t="n">
        <f aca="false">O10+N10</f>
        <v>0.41</v>
      </c>
    </row>
    <row r="11" customFormat="false" ht="15" hidden="false" customHeight="false" outlineLevel="0" collapsed="false">
      <c r="K11" s="0" t="n">
        <v>10</v>
      </c>
      <c r="L11" s="0" t="n">
        <v>10.18</v>
      </c>
      <c r="M11" s="0" t="n">
        <v>9.77</v>
      </c>
      <c r="N11" s="0" t="n">
        <f aca="false">L11-K11</f>
        <v>0.18</v>
      </c>
      <c r="O11" s="0" t="n">
        <f aca="false">K11-M11</f>
        <v>0.23</v>
      </c>
      <c r="P11" s="0" t="n">
        <f aca="false">O11+N11</f>
        <v>0.41</v>
      </c>
    </row>
    <row r="12" customFormat="false" ht="15" hidden="false" customHeight="false" outlineLevel="0" collapsed="false">
      <c r="K12" s="0" t="n">
        <v>5</v>
      </c>
      <c r="L12" s="0" t="n">
        <v>5.17</v>
      </c>
      <c r="M12" s="0" t="n">
        <v>4.76</v>
      </c>
      <c r="N12" s="0" t="n">
        <f aca="false">L12-K12</f>
        <v>0.17</v>
      </c>
      <c r="O12" s="0" t="n">
        <f aca="false">K12-M12</f>
        <v>0.24</v>
      </c>
      <c r="P12" s="0" t="n">
        <f aca="false">O12+N12</f>
        <v>0.41</v>
      </c>
    </row>
    <row r="13" customFormat="false" ht="15" hidden="false" customHeight="false" outlineLevel="0" collapsed="false">
      <c r="K13" s="0" t="n">
        <v>2.5</v>
      </c>
      <c r="L13" s="0" t="n">
        <v>2.7</v>
      </c>
      <c r="M13" s="0" t="n">
        <v>2.25</v>
      </c>
      <c r="N13" s="0" t="n">
        <f aca="false">L13-K13</f>
        <v>0.2</v>
      </c>
      <c r="O13" s="0" t="n">
        <f aca="false">K13-M13</f>
        <v>0.25</v>
      </c>
      <c r="P13" s="0" t="n">
        <f aca="false">O13+N13</f>
        <v>0.45</v>
      </c>
    </row>
    <row r="14" customFormat="false" ht="15" hidden="false" customHeight="false" outlineLevel="0" collapsed="false">
      <c r="P14" s="0" t="n">
        <f aca="false">AVERAGE(P2:P13)</f>
        <v>0.434999999999998</v>
      </c>
    </row>
    <row r="15" customFormat="false" ht="15" hidden="false" customHeight="false" outlineLevel="0" collapsed="false">
      <c r="J15" s="0" t="s">
        <v>14</v>
      </c>
      <c r="K15" s="0" t="n">
        <v>100</v>
      </c>
      <c r="L15" s="0" t="n">
        <v>100.25</v>
      </c>
      <c r="M15" s="0" t="n">
        <v>99.61</v>
      </c>
      <c r="N15" s="0" t="n">
        <f aca="false">L15-K15</f>
        <v>0.25</v>
      </c>
      <c r="O15" s="0" t="n">
        <f aca="false">K15-M15</f>
        <v>0.390000000000001</v>
      </c>
      <c r="P15" s="0" t="n">
        <f aca="false">O15+N15</f>
        <v>0.640000000000001</v>
      </c>
    </row>
    <row r="16" customFormat="false" ht="15" hidden="false" customHeight="false" outlineLevel="0" collapsed="false">
      <c r="K16" s="0" t="n">
        <v>90</v>
      </c>
      <c r="L16" s="0" t="n">
        <v>90.11</v>
      </c>
      <c r="M16" s="0" t="n">
        <v>89.5</v>
      </c>
      <c r="N16" s="0" t="n">
        <f aca="false">L16-K16</f>
        <v>0.109999999999999</v>
      </c>
      <c r="O16" s="0" t="n">
        <f aca="false">K16-M16</f>
        <v>0.5</v>
      </c>
      <c r="P16" s="0" t="n">
        <f aca="false">O16+N16</f>
        <v>0.609999999999999</v>
      </c>
    </row>
    <row r="17" customFormat="false" ht="15" hidden="false" customHeight="false" outlineLevel="0" collapsed="false">
      <c r="K17" s="0" t="n">
        <v>80</v>
      </c>
      <c r="L17" s="0" t="n">
        <v>80.25</v>
      </c>
      <c r="M17" s="0" t="n">
        <v>79.82</v>
      </c>
      <c r="N17" s="0" t="n">
        <f aca="false">L17-K17</f>
        <v>0.25</v>
      </c>
      <c r="O17" s="0" t="n">
        <f aca="false">K17-M17</f>
        <v>0.180000000000007</v>
      </c>
      <c r="P17" s="0" t="n">
        <f aca="false">O17+N17</f>
        <v>0.430000000000007</v>
      </c>
    </row>
    <row r="18" customFormat="false" ht="15" hidden="false" customHeight="false" outlineLevel="0" collapsed="false">
      <c r="K18" s="0" t="n">
        <v>70</v>
      </c>
      <c r="L18" s="0" t="n">
        <v>70.21</v>
      </c>
      <c r="M18" s="0" t="n">
        <v>69.7</v>
      </c>
      <c r="N18" s="0" t="n">
        <f aca="false">L18-K18</f>
        <v>0.209999999999994</v>
      </c>
      <c r="O18" s="0" t="n">
        <f aca="false">K18-M18</f>
        <v>0.299999999999997</v>
      </c>
      <c r="P18" s="0" t="n">
        <f aca="false">O18+N18</f>
        <v>0.509999999999991</v>
      </c>
    </row>
    <row r="19" customFormat="false" ht="15" hidden="false" customHeight="false" outlineLevel="0" collapsed="false">
      <c r="K19" s="0" t="n">
        <v>60</v>
      </c>
      <c r="L19" s="0" t="n">
        <v>60.15</v>
      </c>
      <c r="M19" s="0" t="n">
        <v>59.66</v>
      </c>
      <c r="N19" s="0" t="n">
        <f aca="false">L19-K19</f>
        <v>0.149999999999999</v>
      </c>
      <c r="O19" s="0" t="n">
        <f aca="false">K19-M19</f>
        <v>0.340000000000003</v>
      </c>
      <c r="P19" s="0" t="n">
        <f aca="false">O19+N19</f>
        <v>0.490000000000002</v>
      </c>
    </row>
    <row r="20" customFormat="false" ht="15" hidden="false" customHeight="false" outlineLevel="0" collapsed="false">
      <c r="K20" s="0" t="n">
        <v>50</v>
      </c>
      <c r="L20" s="0" t="n">
        <v>50.11</v>
      </c>
      <c r="M20" s="0" t="n">
        <v>49.69</v>
      </c>
      <c r="N20" s="0" t="n">
        <f aca="false">L20-K20</f>
        <v>0.109999999999999</v>
      </c>
      <c r="O20" s="0" t="n">
        <f aca="false">K20-M20</f>
        <v>0.310000000000002</v>
      </c>
      <c r="P20" s="0" t="n">
        <f aca="false">O20+N20</f>
        <v>0.420000000000002</v>
      </c>
    </row>
    <row r="21" customFormat="false" ht="15" hidden="false" customHeight="false" outlineLevel="0" collapsed="false">
      <c r="K21" s="0" t="n">
        <v>40</v>
      </c>
      <c r="L21" s="0" t="n">
        <v>40.28</v>
      </c>
      <c r="M21" s="0" t="n">
        <v>39.77</v>
      </c>
      <c r="N21" s="0" t="n">
        <f aca="false">L21-K21</f>
        <v>0.280000000000001</v>
      </c>
      <c r="O21" s="0" t="n">
        <f aca="false">K21-M21</f>
        <v>0.229999999999997</v>
      </c>
      <c r="P21" s="0" t="n">
        <f aca="false">O21+N21</f>
        <v>0.509999999999998</v>
      </c>
    </row>
    <row r="22" customFormat="false" ht="15" hidden="false" customHeight="false" outlineLevel="0" collapsed="false">
      <c r="K22" s="0" t="n">
        <v>30</v>
      </c>
      <c r="L22" s="0" t="n">
        <v>30.08</v>
      </c>
      <c r="M22" s="0" t="n">
        <v>29.73</v>
      </c>
      <c r="N22" s="0" t="n">
        <f aca="false">L22-K22</f>
        <v>0.0799999999999983</v>
      </c>
      <c r="O22" s="0" t="n">
        <f aca="false">K22-M22</f>
        <v>0.27</v>
      </c>
      <c r="P22" s="0" t="n">
        <f aca="false">O22+N22</f>
        <v>0.349999999999998</v>
      </c>
    </row>
    <row r="23" customFormat="false" ht="15" hidden="false" customHeight="false" outlineLevel="0" collapsed="false">
      <c r="K23" s="0" t="n">
        <v>20</v>
      </c>
      <c r="L23" s="0" t="n">
        <v>20.17</v>
      </c>
      <c r="M23" s="0" t="n">
        <v>19.82</v>
      </c>
      <c r="N23" s="0" t="n">
        <f aca="false">L23-K23</f>
        <v>0.170000000000002</v>
      </c>
      <c r="O23" s="0" t="n">
        <f aca="false">K23-M23</f>
        <v>0.18</v>
      </c>
      <c r="P23" s="0" t="n">
        <f aca="false">O23+N23</f>
        <v>0.350000000000001</v>
      </c>
    </row>
    <row r="24" customFormat="false" ht="15" hidden="false" customHeight="false" outlineLevel="0" collapsed="false">
      <c r="K24" s="0" t="n">
        <v>10</v>
      </c>
      <c r="L24" s="0" t="n">
        <v>10.14</v>
      </c>
      <c r="M24" s="0" t="n">
        <v>9.73</v>
      </c>
      <c r="N24" s="0" t="n">
        <f aca="false">L24-K24</f>
        <v>0.140000000000001</v>
      </c>
      <c r="O24" s="0" t="n">
        <f aca="false">K24-M24</f>
        <v>0.27</v>
      </c>
      <c r="P24" s="0" t="n">
        <f aca="false">O24+N24</f>
        <v>0.41</v>
      </c>
    </row>
    <row r="25" customFormat="false" ht="15" hidden="false" customHeight="false" outlineLevel="0" collapsed="false">
      <c r="K25" s="0" t="n">
        <v>5</v>
      </c>
      <c r="L25" s="0" t="n">
        <v>5.13</v>
      </c>
      <c r="M25" s="0" t="n">
        <v>4.75</v>
      </c>
      <c r="N25" s="0" t="n">
        <f aca="false">L25-K25</f>
        <v>0.13</v>
      </c>
      <c r="O25" s="0" t="n">
        <f aca="false">K25-M25</f>
        <v>0.25</v>
      </c>
      <c r="P25" s="0" t="n">
        <f aca="false">O25+N25</f>
        <v>0.38</v>
      </c>
    </row>
    <row r="26" customFormat="false" ht="15" hidden="false" customHeight="false" outlineLevel="0" collapsed="false">
      <c r="K26" s="0" t="n">
        <v>2.5</v>
      </c>
      <c r="L26" s="0" t="n">
        <v>2.65</v>
      </c>
      <c r="M26" s="0" t="n">
        <v>2.24</v>
      </c>
      <c r="N26" s="0" t="n">
        <f aca="false">L26-K26</f>
        <v>0.15</v>
      </c>
      <c r="O26" s="0" t="n">
        <f aca="false">K26-M26</f>
        <v>0.26</v>
      </c>
      <c r="P26" s="0" t="n">
        <f aca="false">O26+N26</f>
        <v>0.41</v>
      </c>
    </row>
    <row r="27" customFormat="false" ht="15" hidden="false" customHeight="false" outlineLevel="0" collapsed="false">
      <c r="P27" s="0" t="n">
        <f aca="false">AVERAGE(P15:P26)</f>
        <v>0.459166666666667</v>
      </c>
    </row>
    <row r="38" customFormat="false" ht="15" hidden="false" customHeight="false" outlineLevel="0" collapsed="false">
      <c r="J38" s="0" t="s">
        <v>6</v>
      </c>
      <c r="L38" s="0" t="s">
        <v>15</v>
      </c>
      <c r="M38" s="0" t="s">
        <v>16</v>
      </c>
      <c r="N38" s="0" t="s">
        <v>10</v>
      </c>
      <c r="O38" s="0" t="s">
        <v>9</v>
      </c>
      <c r="P38" s="0" t="s">
        <v>11</v>
      </c>
    </row>
    <row r="39" customFormat="false" ht="13.8" hidden="false" customHeight="false" outlineLevel="0" collapsed="false">
      <c r="J39" s="0" t="s">
        <v>14</v>
      </c>
      <c r="K39" s="0" t="n">
        <v>10</v>
      </c>
      <c r="L39" s="0" t="n">
        <v>9.84</v>
      </c>
      <c r="M39" s="0" t="n">
        <v>10.2</v>
      </c>
      <c r="N39" s="0" t="n">
        <f aca="false">K39-L39</f>
        <v>0.16</v>
      </c>
      <c r="O39" s="0" t="n">
        <f aca="false">M39-K39</f>
        <v>0.199999999999999</v>
      </c>
      <c r="P39" s="0" t="n">
        <f aca="false">O39+N39</f>
        <v>0.359999999999999</v>
      </c>
    </row>
    <row r="40" customFormat="false" ht="13.8" hidden="false" customHeight="false" outlineLevel="0" collapsed="false">
      <c r="K40" s="0" t="n">
        <v>10</v>
      </c>
      <c r="L40" s="0" t="n">
        <v>9.85</v>
      </c>
      <c r="M40" s="0" t="n">
        <v>10.08</v>
      </c>
      <c r="N40" s="0" t="n">
        <f aca="false">K40-L40</f>
        <v>0.15</v>
      </c>
      <c r="O40" s="0" t="n">
        <f aca="false">M40-K40</f>
        <v>0.0800000000000001</v>
      </c>
      <c r="P40" s="0" t="n">
        <f aca="false">2*O40+N40</f>
        <v>0.31</v>
      </c>
    </row>
    <row r="41" customFormat="false" ht="15" hidden="false" customHeight="false" outlineLevel="0" collapsed="false">
      <c r="J41" s="0" t="s">
        <v>17</v>
      </c>
      <c r="K41" s="0" t="n">
        <v>0.44</v>
      </c>
    </row>
    <row r="43" customFormat="false" ht="13.8" hidden="false" customHeight="false" outlineLevel="0" collapsed="false">
      <c r="J43" s="0" t="s">
        <v>18</v>
      </c>
      <c r="K43" s="0" t="n">
        <v>10</v>
      </c>
      <c r="L43" s="0" t="n">
        <v>9.87</v>
      </c>
      <c r="M43" s="0" t="n">
        <v>10.16</v>
      </c>
      <c r="N43" s="0" t="n">
        <f aca="false">K43-L43</f>
        <v>0.130000000000001</v>
      </c>
      <c r="O43" s="0" t="n">
        <f aca="false">M43-K43</f>
        <v>0.16</v>
      </c>
      <c r="P43" s="0" t="n">
        <f aca="false">O43+N43</f>
        <v>0.290000000000001</v>
      </c>
    </row>
    <row r="44" customFormat="false" ht="13.8" hidden="false" customHeight="false" outlineLevel="0" collapsed="false">
      <c r="K44" s="0" t="n">
        <v>10</v>
      </c>
      <c r="L44" s="0" t="n">
        <v>9.88</v>
      </c>
      <c r="M44" s="0" t="n">
        <v>10.02</v>
      </c>
      <c r="N44" s="0" t="n">
        <f aca="false">K44-L44</f>
        <v>0.119999999999999</v>
      </c>
      <c r="O44" s="0" t="n">
        <f aca="false">M44-K44</f>
        <v>0.0199999999999996</v>
      </c>
      <c r="P44" s="0" t="n">
        <f aca="false">2*O44+N44</f>
        <v>0.159999999999998</v>
      </c>
    </row>
    <row r="45" customFormat="false" ht="13.8" hidden="false" customHeight="false" outlineLevel="0" collapsed="false">
      <c r="J45" s="0" t="s">
        <v>17</v>
      </c>
      <c r="K45" s="0" t="n">
        <v>0.36</v>
      </c>
    </row>
    <row r="47" customFormat="false" ht="13.8" hidden="false" customHeight="false" outlineLevel="0" collapsed="false">
      <c r="J47" s="0" t="s">
        <v>19</v>
      </c>
      <c r="K47" s="0" t="n">
        <v>10</v>
      </c>
      <c r="L47" s="0" t="n">
        <v>9.79</v>
      </c>
      <c r="M47" s="0" t="n">
        <v>10.21</v>
      </c>
      <c r="N47" s="0" t="n">
        <f aca="false">K47-L47</f>
        <v>0.210000000000001</v>
      </c>
      <c r="O47" s="0" t="n">
        <f aca="false">M47-K47</f>
        <v>0.210000000000001</v>
      </c>
      <c r="P47" s="0" t="n">
        <f aca="false">O47+N47</f>
        <v>0.420000000000002</v>
      </c>
    </row>
    <row r="48" customFormat="false" ht="13.8" hidden="false" customHeight="false" outlineLevel="0" collapsed="false">
      <c r="K48" s="0" t="n">
        <v>10</v>
      </c>
      <c r="L48" s="0" t="n">
        <v>9.79</v>
      </c>
      <c r="M48" s="0" t="n">
        <v>10.02</v>
      </c>
      <c r="N48" s="0" t="n">
        <f aca="false">K48-L48</f>
        <v>0.210000000000001</v>
      </c>
      <c r="O48" s="0" t="n">
        <f aca="false">M48-K48</f>
        <v>0.0199999999999996</v>
      </c>
      <c r="P48" s="0" t="n">
        <f aca="false">2*O48+N48</f>
        <v>0.25</v>
      </c>
    </row>
    <row r="49" customFormat="false" ht="13.8" hidden="false" customHeight="false" outlineLevel="0" collapsed="false">
      <c r="J49" s="0" t="s">
        <v>17</v>
      </c>
      <c r="K49" s="0" t="n">
        <v>0.5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LibreOffice/5.1.6.2$Linux_X86_64 LibreOffice_project/10m0$Build-2</Application>
  <Company>Griffith University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2019-03-28T01:54:08Z</dcterms:created>
  <dc:creator>Timothy Roberts</dc:creator>
  <dc:description/>
  <dc:language>en-AU</dc:language>
  <cp:lastModifiedBy/>
  <dcterms:modified xsi:type="dcterms:W3CDTF">2019-03-28T15:49:00Z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Griffith University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